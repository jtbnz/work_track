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.White/Downloads/"/>
    </mc:Choice>
  </mc:AlternateContent>
  <xr:revisionPtr revIDLastSave="0" documentId="8_{C9E1A195-179B-7D4E-BADF-1D3C534E5D4B}" xr6:coauthVersionLast="47" xr6:coauthVersionMax="47" xr10:uidLastSave="{00000000-0000-0000-0000-000000000000}"/>
  <bookViews>
    <workbookView xWindow="0" yWindow="800" windowWidth="25180" windowHeight="16140" xr2:uid="{AC528692-9636-43B9-87D7-3D910CF31F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G6" i="1" s="1"/>
  <c r="D6" i="1"/>
  <c r="D7" i="1"/>
  <c r="F7" i="1" s="1"/>
  <c r="G7" i="1" s="1"/>
  <c r="D10" i="1"/>
  <c r="D9" i="1"/>
  <c r="F9" i="1" s="1"/>
  <c r="G9" i="1" s="1"/>
  <c r="D8" i="1"/>
  <c r="F8" i="1" s="1"/>
  <c r="G8" i="1" s="1"/>
  <c r="H6" i="1" l="1"/>
  <c r="I6" i="1" s="1"/>
  <c r="F10" i="1"/>
  <c r="G10" i="1" s="1"/>
  <c r="H10" i="1" s="1"/>
  <c r="I10" i="1" s="1"/>
  <c r="H9" i="1"/>
  <c r="I9" i="1"/>
  <c r="H7" i="1"/>
  <c r="I7" i="1"/>
  <c r="H8" i="1"/>
  <c r="I8" i="1" s="1"/>
</calcChain>
</file>

<file path=xl/sharedStrings.xml><?xml version="1.0" encoding="utf-8"?>
<sst xmlns="http://schemas.openxmlformats.org/spreadsheetml/2006/main" count="22" uniqueCount="18">
  <si>
    <t>Foam Pricing</t>
  </si>
  <si>
    <t>10mm</t>
  </si>
  <si>
    <t>25mm</t>
  </si>
  <si>
    <t>50mm</t>
  </si>
  <si>
    <t>100mm</t>
  </si>
  <si>
    <t>Grade</t>
  </si>
  <si>
    <t>38-200</t>
  </si>
  <si>
    <t>Cost Sq/Mtr</t>
  </si>
  <si>
    <t>Cost of Foam</t>
  </si>
  <si>
    <t>Price of Foam</t>
  </si>
  <si>
    <t>GST</t>
  </si>
  <si>
    <t>Total Price</t>
  </si>
  <si>
    <t>75mm</t>
  </si>
  <si>
    <t>Enter Sq/Mtr</t>
  </si>
  <si>
    <t>Sheet Cost</t>
  </si>
  <si>
    <t>Total Sq/Mtr</t>
  </si>
  <si>
    <t>Thickness</t>
  </si>
  <si>
    <t>***Add 15% if Cutting Required***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</si>
</sst>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1" applyFont="1"/>
    <xf numFmtId="164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1" applyNumberFormat="1" applyFont="1" applyAlignment="1">
      <alignment horizontal="center"/>
    </xf>
    <xf numFmtId="0" fontId="5" fillId="0" borderId="0" xfId="0" applyFont="1"/>
    <xf numFmtId="164" fontId="5" fillId="0" borderId="0" xfId="1" applyFont="1" applyAlignment="1">
      <alignment horizontal="center"/>
    </xf>
    <xf numFmtId="164" fontId="2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1" applyFont="1" applyBorder="1" applyAlignment="1">
      <alignment horizontal="center"/>
    </xf>
    <xf numFmtId="0" fontId="3" fillId="2" borderId="1" xfId="1" applyNumberFormat="1" applyFont="1" applyFill="1" applyBorder="1" applyAlignment="1">
      <alignment horizontal="center"/>
    </xf>
    <xf numFmtId="164" fontId="2" fillId="0" borderId="1" xfId="1" applyFont="1" applyBorder="1" applyAlignment="1">
      <alignment horizontal="center"/>
    </xf>
    <xf numFmtId="164" fontId="0" fillId="0" borderId="1" xfId="1" applyFont="1" applyBorder="1"/>
    <xf numFmtId="164" fontId="5" fillId="0" borderId="1" xfId="0" applyNumberFormat="1" applyFont="1" applyBorder="1"/>
    <xf numFmtId="164" fontId="4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Font="1" applyAlignment="1">
      <alignment horizontal="center" vertical="center" wrapText="1"/>
    </xf>
    <xf numFmtId="0" fontId="3" fillId="0" borderId="0" xfId="1" applyNumberFormat="1" applyFont="1" applyAlignment="1">
      <alignment horizontal="center" wrapText="1"/>
    </xf>
    <xf numFmtId="164" fontId="2" fillId="0" borderId="0" xfId="1" applyFont="1" applyAlignment="1">
      <alignment horizontal="center" vertical="center"/>
    </xf>
    <xf numFmtId="164" fontId="0" fillId="0" borderId="0" xfId="1" applyFont="1" applyAlignment="1">
      <alignment horizontal="center" vertical="center"/>
    </xf>
    <xf numFmtId="164" fontId="5" fillId="0" borderId="0" xfId="1" applyFont="1" applyAlignment="1">
      <alignment horizontal="center" vertical="center"/>
    </xf>
    <xf numFmtId="0" fontId="6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2983B-52B3-4678-A8B9-B69188D21E85}">
  <dimension ref="A1:I13"/>
  <sheetViews>
    <sheetView tabSelected="1" workbookViewId="0">
      <selection activeCell="F8" sqref="F8"/>
    </sheetView>
  </sheetViews>
  <sheetFormatPr baseColWidth="10" defaultColWidth="8.83203125" defaultRowHeight="15" x14ac:dyDescent="0.2"/>
  <cols>
    <col min="1" max="2" width="8.6640625" style="3"/>
    <col min="3" max="3" width="8.6640625" style="2"/>
    <col min="4" max="4" width="11.6640625" style="2" bestFit="1" customWidth="1"/>
    <col min="5" max="5" width="8.6640625" style="4"/>
    <col min="6" max="6" width="12.6640625" style="7" bestFit="1" customWidth="1"/>
    <col min="7" max="7" width="13.1640625" style="1" bestFit="1" customWidth="1"/>
    <col min="9" max="9" width="10.6640625" style="5" bestFit="1" customWidth="1"/>
  </cols>
  <sheetData>
    <row r="1" spans="1:9" x14ac:dyDescent="0.2">
      <c r="A1" s="15" t="s">
        <v>0</v>
      </c>
      <c r="B1" s="15"/>
      <c r="C1" s="15"/>
      <c r="D1" s="15"/>
      <c r="E1" s="15"/>
      <c r="F1" s="7" t="s">
        <v>15</v>
      </c>
    </row>
    <row r="2" spans="1:9" x14ac:dyDescent="0.2">
      <c r="A2" s="15"/>
      <c r="B2" s="15"/>
      <c r="C2" s="15"/>
      <c r="D2" s="15"/>
      <c r="E2" s="15"/>
      <c r="F2" s="8">
        <v>3.91</v>
      </c>
    </row>
    <row r="3" spans="1:9" x14ac:dyDescent="0.2">
      <c r="A3" s="16" t="s">
        <v>5</v>
      </c>
      <c r="B3" s="16" t="s">
        <v>16</v>
      </c>
      <c r="C3" s="17" t="s">
        <v>14</v>
      </c>
      <c r="D3" s="17" t="s">
        <v>7</v>
      </c>
      <c r="E3" s="18" t="s">
        <v>13</v>
      </c>
      <c r="F3" s="19" t="s">
        <v>8</v>
      </c>
      <c r="G3" s="20" t="s">
        <v>9</v>
      </c>
      <c r="H3" s="20" t="s">
        <v>10</v>
      </c>
      <c r="I3" s="21" t="s">
        <v>11</v>
      </c>
    </row>
    <row r="4" spans="1:9" x14ac:dyDescent="0.2">
      <c r="A4" s="16"/>
      <c r="B4" s="16"/>
      <c r="C4" s="17"/>
      <c r="D4" s="17"/>
      <c r="E4" s="18"/>
      <c r="F4" s="19"/>
      <c r="G4" s="20"/>
      <c r="H4" s="20"/>
      <c r="I4" s="21"/>
    </row>
    <row r="5" spans="1:9" x14ac:dyDescent="0.2">
      <c r="H5" s="2"/>
      <c r="I5" s="6"/>
    </row>
    <row r="6" spans="1:9" x14ac:dyDescent="0.2">
      <c r="A6" s="9" t="s">
        <v>6</v>
      </c>
      <c r="B6" s="9" t="s">
        <v>1</v>
      </c>
      <c r="C6" s="10">
        <v>33.68</v>
      </c>
      <c r="D6" s="10">
        <f>SUM(C6/F2)</f>
        <v>8.6138107416879794</v>
      </c>
      <c r="E6" s="11"/>
      <c r="F6" s="12">
        <f t="shared" ref="F6:F7" si="0">SUM(D6*E6)</f>
        <v>0</v>
      </c>
      <c r="G6" s="13">
        <f t="shared" ref="G6:G7" si="1">SUM(F6*2)</f>
        <v>0</v>
      </c>
      <c r="H6" s="13">
        <f t="shared" ref="H6:H7" si="2">SUM(G6*15%)</f>
        <v>0</v>
      </c>
      <c r="I6" s="14">
        <f t="shared" ref="I6:I7" si="3">SUM(G6+H6)</f>
        <v>0</v>
      </c>
    </row>
    <row r="7" spans="1:9" x14ac:dyDescent="0.2">
      <c r="A7" s="9" t="s">
        <v>6</v>
      </c>
      <c r="B7" s="9" t="s">
        <v>2</v>
      </c>
      <c r="C7" s="10">
        <v>84.18</v>
      </c>
      <c r="D7" s="10">
        <f>SUM(C7/F2)</f>
        <v>21.529411764705884</v>
      </c>
      <c r="E7" s="11"/>
      <c r="F7" s="12">
        <f t="shared" si="0"/>
        <v>0</v>
      </c>
      <c r="G7" s="13">
        <f t="shared" si="1"/>
        <v>0</v>
      </c>
      <c r="H7" s="13">
        <f t="shared" si="2"/>
        <v>0</v>
      </c>
      <c r="I7" s="14">
        <f t="shared" si="3"/>
        <v>0</v>
      </c>
    </row>
    <row r="8" spans="1:9" x14ac:dyDescent="0.2">
      <c r="A8" s="9" t="s">
        <v>6</v>
      </c>
      <c r="B8" s="9" t="s">
        <v>3</v>
      </c>
      <c r="C8" s="10">
        <v>168.36</v>
      </c>
      <c r="D8" s="10">
        <f>SUM(C8/F2)</f>
        <v>43.058823529411768</v>
      </c>
      <c r="E8" s="11"/>
      <c r="F8" s="12">
        <f>SUM(D8*E8)</f>
        <v>0</v>
      </c>
      <c r="G8" s="13">
        <f>SUM(F8*2)</f>
        <v>0</v>
      </c>
      <c r="H8" s="13">
        <f>SUM(G8*15%)</f>
        <v>0</v>
      </c>
      <c r="I8" s="14">
        <f>SUM(G8+H8)</f>
        <v>0</v>
      </c>
    </row>
    <row r="9" spans="1:9" x14ac:dyDescent="0.2">
      <c r="A9" s="9" t="s">
        <v>6</v>
      </c>
      <c r="B9" s="9" t="s">
        <v>12</v>
      </c>
      <c r="C9" s="10">
        <v>252.52</v>
      </c>
      <c r="D9" s="10">
        <f>SUM(C9/F2)</f>
        <v>64.583120204603574</v>
      </c>
      <c r="E9" s="11"/>
      <c r="F9" s="12">
        <f t="shared" ref="F9:F10" si="4">SUM(D9*E9)</f>
        <v>0</v>
      </c>
      <c r="G9" s="13">
        <f t="shared" ref="G9:G10" si="5">SUM(F9*2)</f>
        <v>0</v>
      </c>
      <c r="H9" s="13">
        <f t="shared" ref="H9:H10" si="6">SUM(G9*15%)</f>
        <v>0</v>
      </c>
      <c r="I9" s="14">
        <f t="shared" ref="I9:I10" si="7">SUM(G9+H9)</f>
        <v>0</v>
      </c>
    </row>
    <row r="10" spans="1:9" x14ac:dyDescent="0.2">
      <c r="A10" s="9" t="s">
        <v>6</v>
      </c>
      <c r="B10" s="9" t="s">
        <v>4</v>
      </c>
      <c r="C10" s="10">
        <v>336.7</v>
      </c>
      <c r="D10" s="10">
        <f>SUM(C10/F2)</f>
        <v>86.112531969309458</v>
      </c>
      <c r="E10" s="11"/>
      <c r="F10" s="12">
        <f t="shared" si="4"/>
        <v>0</v>
      </c>
      <c r="G10" s="13">
        <f t="shared" si="5"/>
        <v>0</v>
      </c>
      <c r="H10" s="13">
        <f t="shared" si="6"/>
        <v>0</v>
      </c>
      <c r="I10" s="14">
        <f t="shared" si="7"/>
        <v>0</v>
      </c>
    </row>
    <row r="13" spans="1:9" x14ac:dyDescent="0.2">
      <c r="A13" s="22" t="s">
        <v>17</v>
      </c>
      <c r="B13" s="22"/>
      <c r="C13" s="22"/>
      <c r="D13" s="22"/>
      <c r="E13" s="22"/>
      <c r="F13" s="22"/>
      <c r="G13" s="22"/>
      <c r="H13" s="22"/>
      <c r="I13" s="22"/>
    </row>
  </sheetData>
  <mergeCells count="11">
    <mergeCell ref="F3:F4"/>
    <mergeCell ref="G3:G4"/>
    <mergeCell ref="H3:H4"/>
    <mergeCell ref="I3:I4"/>
    <mergeCell ref="A13:I13"/>
    <mergeCell ref="A1:E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Wood, Vaughan</dc:creator>
  <cp:lastModifiedBy>Jon White</cp:lastModifiedBy>
  <dcterms:created xsi:type="dcterms:W3CDTF">2025-12-08T01:25:28Z</dcterms:created>
  <dcterms:modified xsi:type="dcterms:W3CDTF">2026-01-22T00:16:28Z</dcterms:modified>
</cp:coreProperties>
</file>